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OANG PHUC\Downloads\Candidate 2025\Modélisation Financière - Pricing d'Options (Black-Scholes et Monte Carlo)\"/>
    </mc:Choice>
  </mc:AlternateContent>
  <xr:revisionPtr revIDLastSave="0" documentId="13_ncr:1_{4FB82592-5EF1-4FB6-9003-BEC7416A458E}" xr6:coauthVersionLast="47" xr6:coauthVersionMax="47" xr10:uidLastSave="{00000000-0000-0000-0000-000000000000}"/>
  <bookViews>
    <workbookView xWindow="-96" yWindow="0" windowWidth="11712" windowHeight="12336" xr2:uid="{F311AB20-044F-48DA-B7D5-B5D64CA82F1D}"/>
  </bookViews>
  <sheets>
    <sheet name="Feuil1" sheetId="1" r:id="rId1"/>
  </sheets>
  <definedNames>
    <definedName name="_xleta.NA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1" l="1"/>
  <c r="O8" i="1"/>
  <c r="O7" i="1"/>
  <c r="O5" i="1"/>
  <c r="O6" i="1"/>
  <c r="N10" i="1"/>
  <c r="K9" i="1"/>
  <c r="K10" i="1" s="1"/>
  <c r="K8" i="1"/>
  <c r="K7" i="1"/>
  <c r="K6" i="1"/>
  <c r="K5" i="1"/>
  <c r="C9" i="1"/>
  <c r="C7" i="1"/>
  <c r="C6" i="1"/>
  <c r="C5" i="1"/>
  <c r="G7" i="1"/>
  <c r="G8" i="1" a="1"/>
  <c r="G8" i="1" s="1"/>
  <c r="G9" i="1"/>
  <c r="C8" i="1"/>
  <c r="G5" i="1"/>
  <c r="G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<sst xmlns="http://schemas.openxmlformats.org/spreadsheetml/2006/main" count="35" uniqueCount="30">
  <si>
    <t>Information</t>
  </si>
  <si>
    <t>Type</t>
  </si>
  <si>
    <t>Valeur</t>
  </si>
  <si>
    <t>Volatilité</t>
  </si>
  <si>
    <t>Durée</t>
  </si>
  <si>
    <t>d1</t>
  </si>
  <si>
    <t>d2</t>
  </si>
  <si>
    <t>N(d1)</t>
  </si>
  <si>
    <t>N(d2)</t>
  </si>
  <si>
    <t>CALL</t>
  </si>
  <si>
    <t>PUT</t>
  </si>
  <si>
    <t>année</t>
  </si>
  <si>
    <t>€</t>
  </si>
  <si>
    <t>VBA</t>
  </si>
  <si>
    <t>discret</t>
  </si>
  <si>
    <t>Conversion en année (Excel)</t>
  </si>
  <si>
    <t>EXCEL</t>
  </si>
  <si>
    <t>Strike (K)</t>
  </si>
  <si>
    <t>Taux d'intrêt ( r )</t>
  </si>
  <si>
    <t>Spot ( S )</t>
  </si>
  <si>
    <t>Conversion en année (VBA)</t>
  </si>
  <si>
    <t>unité</t>
  </si>
  <si>
    <t>Valorisation des options</t>
  </si>
  <si>
    <t>Profil de risque</t>
  </si>
  <si>
    <t>Delta</t>
  </si>
  <si>
    <t>Gamma</t>
  </si>
  <si>
    <t>Rho</t>
  </si>
  <si>
    <t>Theta</t>
  </si>
  <si>
    <t>Vega</t>
  </si>
  <si>
    <t>N'(d1)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</si>
</sst>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"/>
    <numFmt numFmtId="165" formatCode="_(* #,##0.000_);_(* \(#,##0.000\);_(* &quot;-&quot;??_);_(@_)"/>
    <numFmt numFmtId="169" formatCode="0.000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Times New Roman"/>
      <family val="1"/>
    </font>
    <font>
      <sz val="12"/>
      <color rgb="FF040C28"/>
      <name val="Times New Roman"/>
      <family val="1"/>
    </font>
    <font>
      <sz val="11"/>
      <color theme="1"/>
      <name val="Aptos Narrow"/>
      <family val="2"/>
      <scheme val="minor"/>
    </font>
    <font>
      <b/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31">
    <xf numFmtId="0" fontId="0" fillId="0" borderId="0" xfId="0"/>
    <xf numFmtId="0" fontId="1" fillId="0" borderId="0" xfId="0" applyFont="1"/>
    <xf numFmtId="0" fontId="1" fillId="0" borderId="4" xfId="0" applyFont="1" applyBorder="1"/>
    <xf numFmtId="0" fontId="2" fillId="0" borderId="4" xfId="0" applyFont="1" applyBorder="1"/>
    <xf numFmtId="10" fontId="1" fillId="0" borderId="4" xfId="0" applyNumberFormat="1" applyFont="1" applyBorder="1"/>
    <xf numFmtId="0" fontId="1" fillId="0" borderId="5" xfId="0" applyFont="1" applyBorder="1"/>
    <xf numFmtId="0" fontId="1" fillId="0" borderId="11" xfId="0" applyFont="1" applyBorder="1"/>
    <xf numFmtId="164" fontId="1" fillId="2" borderId="4" xfId="0" applyNumberFormat="1" applyFont="1" applyFill="1" applyBorder="1"/>
    <xf numFmtId="164" fontId="1" fillId="2" borderId="11" xfId="0" applyNumberFormat="1" applyFont="1" applyFill="1" applyBorder="1"/>
    <xf numFmtId="43" fontId="1" fillId="2" borderId="11" xfId="1" applyFont="1" applyFill="1" applyBorder="1"/>
    <xf numFmtId="165" fontId="1" fillId="2" borderId="4" xfId="1" applyNumberFormat="1" applyFont="1" applyFill="1" applyBorder="1"/>
    <xf numFmtId="0" fontId="4" fillId="0" borderId="6" xfId="0" applyFont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0" borderId="8" xfId="0" applyFont="1" applyBorder="1"/>
    <xf numFmtId="0" fontId="4" fillId="0" borderId="10" xfId="0" applyFont="1" applyBorder="1"/>
    <xf numFmtId="0" fontId="4" fillId="4" borderId="7" xfId="0" applyFont="1" applyFill="1" applyBorder="1" applyAlignment="1">
      <alignment horizontal="center"/>
    </xf>
    <xf numFmtId="165" fontId="1" fillId="5" borderId="9" xfId="1" applyNumberFormat="1" applyFont="1" applyFill="1" applyBorder="1"/>
    <xf numFmtId="164" fontId="1" fillId="5" borderId="9" xfId="0" applyNumberFormat="1" applyFont="1" applyFill="1" applyBorder="1"/>
    <xf numFmtId="43" fontId="1" fillId="5" borderId="12" xfId="1" applyFont="1" applyFill="1" applyBorder="1"/>
    <xf numFmtId="164" fontId="1" fillId="5" borderId="12" xfId="0" applyNumberFormat="1" applyFont="1" applyFill="1" applyBorder="1"/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/>
    <xf numFmtId="0" fontId="4" fillId="3" borderId="0" xfId="0" applyFont="1" applyFill="1" applyAlignment="1">
      <alignment horizontal="center"/>
    </xf>
    <xf numFmtId="169" fontId="1" fillId="2" borderId="0" xfId="0" applyNumberFormat="1" applyFont="1" applyFill="1"/>
    <xf numFmtId="164" fontId="1" fillId="0" borderId="0" xfId="0" applyNumberFormat="1" applyFont="1"/>
    <xf numFmtId="43" fontId="1" fillId="0" borderId="0" xfId="0" applyNumberFormat="1" applyFont="1"/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27812</xdr:colOff>
      <xdr:row>11</xdr:row>
      <xdr:rowOff>60960</xdr:rowOff>
    </xdr:from>
    <xdr:to>
      <xdr:col>10</xdr:col>
      <xdr:colOff>708659</xdr:colOff>
      <xdr:row>13</xdr:row>
      <xdr:rowOff>30480</xdr:rowOff>
    </xdr:to>
    <xdr:sp macro="[0]!ValeurCALLPUT" textlink="">
      <xdr:nvSpPr>
        <xdr:cNvPr id="3" name="Ellipse 2">
          <a:extLst>
            <a:ext uri="{FF2B5EF4-FFF2-40B4-BE49-F238E27FC236}">
              <a16:creationId xmlns:a16="http://schemas.microsoft.com/office/drawing/2014/main" id="{D98506EC-85C3-DB15-EA82-C25C39E85651}"/>
            </a:ext>
          </a:extLst>
        </xdr:cNvPr>
        <xdr:cNvSpPr/>
      </xdr:nvSpPr>
      <xdr:spPr>
        <a:xfrm>
          <a:off x="8752712" y="2125980"/>
          <a:ext cx="1473327" cy="335280"/>
        </a:xfrm>
        <a:prstGeom prst="ellips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VALORISATION</a:t>
          </a:r>
        </a:p>
        <a:p>
          <a:pPr algn="l"/>
          <a:endParaRPr lang="fr-FR" sz="1100"/>
        </a:p>
      </xdr:txBody>
    </xdr:sp>
    <xdr:clientData/>
  </xdr:twoCellAnchor>
  <xdr:twoCellAnchor>
    <xdr:from>
      <xdr:col>12</xdr:col>
      <xdr:colOff>678180</xdr:colOff>
      <xdr:row>11</xdr:row>
      <xdr:rowOff>76200</xdr:rowOff>
    </xdr:from>
    <xdr:to>
      <xdr:col>14</xdr:col>
      <xdr:colOff>91440</xdr:colOff>
      <xdr:row>14</xdr:row>
      <xdr:rowOff>60960</xdr:rowOff>
    </xdr:to>
    <xdr:sp macro="[0]!Greeks" textlink="">
      <xdr:nvSpPr>
        <xdr:cNvPr id="2" name="Ellipse 1">
          <a:extLst>
            <a:ext uri="{FF2B5EF4-FFF2-40B4-BE49-F238E27FC236}">
              <a16:creationId xmlns:a16="http://schemas.microsoft.com/office/drawing/2014/main" id="{B193581D-EF8E-5419-6B70-60E05A053C2F}"/>
            </a:ext>
          </a:extLst>
        </xdr:cNvPr>
        <xdr:cNvSpPr/>
      </xdr:nvSpPr>
      <xdr:spPr>
        <a:xfrm>
          <a:off x="12588240" y="2080260"/>
          <a:ext cx="998220" cy="510540"/>
        </a:xfrm>
        <a:prstGeom prst="ellipse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GREEKS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496EA-F2AA-44AB-B713-D3EF788D226F}">
  <sheetPr codeName="Feuil1"/>
  <dimension ref="B2:P10"/>
  <sheetViews>
    <sheetView tabSelected="1" topLeftCell="H1" workbookViewId="0">
      <selection activeCell="O13" sqref="O13"/>
    </sheetView>
  </sheetViews>
  <sheetFormatPr baseColWidth="10" defaultRowHeight="13.8" x14ac:dyDescent="0.25"/>
  <cols>
    <col min="1" max="1" width="11.5546875" style="1"/>
    <col min="2" max="2" width="14.88671875" style="1" bestFit="1" customWidth="1"/>
    <col min="3" max="5" width="11.5546875" style="1"/>
    <col min="6" max="6" width="25.33203125" style="1" bestFit="1" customWidth="1"/>
    <col min="7" max="7" width="24.21875" style="1" bestFit="1" customWidth="1"/>
    <col min="8" max="9" width="11.5546875" style="1"/>
    <col min="10" max="10" width="13.5546875" style="1" bestFit="1" customWidth="1"/>
    <col min="11" max="11" width="14.77734375" style="1" customWidth="1"/>
    <col min="12" max="16384" width="11.5546875" style="1"/>
  </cols>
  <sheetData>
    <row r="2" spans="2:16" ht="14.4" thickBot="1" x14ac:dyDescent="0.3"/>
    <row r="3" spans="2:16" ht="14.4" thickBot="1" x14ac:dyDescent="0.3">
      <c r="B3" s="21" t="s">
        <v>0</v>
      </c>
      <c r="C3" s="22"/>
      <c r="D3" s="22"/>
      <c r="E3" s="22"/>
      <c r="F3" s="22"/>
      <c r="G3" s="23"/>
      <c r="I3" s="21" t="s">
        <v>22</v>
      </c>
      <c r="J3" s="22"/>
      <c r="K3" s="23"/>
      <c r="M3" s="24" t="s">
        <v>23</v>
      </c>
      <c r="N3" s="24"/>
      <c r="O3" s="24"/>
    </row>
    <row r="4" spans="2:16" x14ac:dyDescent="0.25">
      <c r="B4" s="5"/>
      <c r="C4" s="11" t="s">
        <v>2</v>
      </c>
      <c r="D4" s="11" t="s">
        <v>21</v>
      </c>
      <c r="E4" s="11" t="s">
        <v>1</v>
      </c>
      <c r="F4" s="12" t="s">
        <v>20</v>
      </c>
      <c r="G4" s="15" t="s">
        <v>15</v>
      </c>
      <c r="I4" s="5"/>
      <c r="J4" s="12" t="s">
        <v>13</v>
      </c>
      <c r="K4" s="15" t="s">
        <v>16</v>
      </c>
      <c r="N4" s="27" t="s">
        <v>13</v>
      </c>
      <c r="O4" s="20" t="s">
        <v>16</v>
      </c>
    </row>
    <row r="5" spans="2:16" ht="15.6" x14ac:dyDescent="0.3">
      <c r="B5" s="13" t="s">
        <v>19</v>
      </c>
      <c r="C5" s="2">
        <f xml:space="preserve"> 67.96</f>
        <v>67.959999999999994</v>
      </c>
      <c r="D5" s="3" t="s">
        <v>12</v>
      </c>
      <c r="E5" s="3"/>
      <c r="F5" s="10">
        <v>67.959999999999994</v>
      </c>
      <c r="G5" s="16">
        <f>C5</f>
        <v>67.959999999999994</v>
      </c>
      <c r="I5" s="13" t="s">
        <v>5</v>
      </c>
      <c r="J5" s="7">
        <v>0.27140768646507235</v>
      </c>
      <c r="K5" s="17">
        <f>(LN(G5/G6)+(G7+(G8*G8)/2)*G9)/(G8*SQRT(G9))</f>
        <v>0.27140768646507235</v>
      </c>
      <c r="M5" s="26" t="s">
        <v>24</v>
      </c>
      <c r="N5" s="28">
        <v>0.60696125455178318</v>
      </c>
      <c r="O5" s="29">
        <f>K7</f>
        <v>0.60696125455178318</v>
      </c>
    </row>
    <row r="6" spans="2:16" ht="15.6" x14ac:dyDescent="0.3">
      <c r="B6" s="13" t="s">
        <v>17</v>
      </c>
      <c r="C6" s="2">
        <f xml:space="preserve"> 68</f>
        <v>68</v>
      </c>
      <c r="D6" s="3" t="s">
        <v>12</v>
      </c>
      <c r="E6" s="3"/>
      <c r="F6" s="10">
        <v>68</v>
      </c>
      <c r="G6" s="16">
        <f>C6</f>
        <v>68</v>
      </c>
      <c r="I6" s="13" t="s">
        <v>6</v>
      </c>
      <c r="J6" s="7">
        <v>-7.7692313534927615E-2</v>
      </c>
      <c r="K6" s="17">
        <f>K5-G8*SQRT(G9)</f>
        <v>-7.7692313534927615E-2</v>
      </c>
      <c r="M6" s="26" t="s">
        <v>25</v>
      </c>
      <c r="N6" s="28">
        <v>1.6207324143771983E-2</v>
      </c>
      <c r="O6" s="30">
        <f>N10/(G5*G8*SQRT(G9))</f>
        <v>1.6207324143771983E-2</v>
      </c>
    </row>
    <row r="7" spans="2:16" x14ac:dyDescent="0.25">
      <c r="B7" s="13" t="s">
        <v>18</v>
      </c>
      <c r="C7" s="4">
        <f xml:space="preserve"> 3.5/100</f>
        <v>3.5000000000000003E-2</v>
      </c>
      <c r="D7" s="2" t="s">
        <v>11</v>
      </c>
      <c r="E7" s="2" t="s">
        <v>14</v>
      </c>
      <c r="F7" s="10">
        <v>3.4401426717332317E-2</v>
      </c>
      <c r="G7" s="16">
        <f xml:space="preserve"> IF(D7="année",IF(E7="discret",LN(1+C7),C7), IF(D7="jour",IF(E7="discret",LN(1+C7/360),C7/360), IF(D7="mois",IF(E7="discret",LN(1+C7/12),C7/12), IF(D7="semestre",IF(E7="discret",LN(1+C7/6),C7/6),_xleta.NA))))</f>
        <v>3.4401426717332317E-2</v>
      </c>
      <c r="I7" s="13" t="s">
        <v>7</v>
      </c>
      <c r="J7" s="7">
        <v>0.60696125455178318</v>
      </c>
      <c r="K7" s="17">
        <f>NORMSDIST(K5)</f>
        <v>0.60696125455178318</v>
      </c>
      <c r="M7" s="26" t="s">
        <v>28</v>
      </c>
      <c r="N7" s="28">
        <v>26.13171465277609</v>
      </c>
      <c r="O7" s="1">
        <f>G5*N10*SQRT(G9)</f>
        <v>26.13171465277609</v>
      </c>
    </row>
    <row r="8" spans="2:16" x14ac:dyDescent="0.25">
      <c r="B8" s="13" t="s">
        <v>3</v>
      </c>
      <c r="C8" s="2">
        <f>34.91/100</f>
        <v>0.34909999999999997</v>
      </c>
      <c r="D8" s="2" t="s">
        <v>11</v>
      </c>
      <c r="E8" s="2"/>
      <c r="F8" s="10">
        <v>0.34909999999999997</v>
      </c>
      <c r="G8" s="16" cm="1">
        <f t="array" ref="G8">IF(D8="jour",C8*_xludf.SQRT(252), IF(D8="mois",C8*_xludf.SQRT(12), IF(D8="semestre",C8*_xludf.SQRT(6), IF(D8="année",C8,NA()))))</f>
        <v>0.34909999999999997</v>
      </c>
      <c r="I8" s="13" t="s">
        <v>8</v>
      </c>
      <c r="J8" s="7">
        <v>0.46903640426805493</v>
      </c>
      <c r="K8" s="17">
        <f>NORMSDIST(K6)</f>
        <v>0.46903640426805493</v>
      </c>
      <c r="M8" s="26" t="s">
        <v>27</v>
      </c>
      <c r="N8" s="28">
        <v>-5.6214023494196717</v>
      </c>
      <c r="O8" s="1">
        <f>(-(G5*N10*G8)/(2*SQRT(G9)) - G7*G6*EXP(-G7*G9)*K8)</f>
        <v>-5.6214023494196717</v>
      </c>
    </row>
    <row r="9" spans="2:16" ht="14.4" thickBot="1" x14ac:dyDescent="0.3">
      <c r="B9" s="14" t="s">
        <v>4</v>
      </c>
      <c r="C9" s="6">
        <f xml:space="preserve"> 1</f>
        <v>1</v>
      </c>
      <c r="D9" s="6" t="s">
        <v>11</v>
      </c>
      <c r="E9" s="6"/>
      <c r="F9" s="9">
        <v>1</v>
      </c>
      <c r="G9" s="18">
        <f>IF(D9="jour",C9/360, IF(D9="mois",C9/12, IF(D9="semestre",C9/6, IF(D9="année",C9,NA()))))</f>
        <v>1</v>
      </c>
      <c r="I9" s="13" t="s">
        <v>9</v>
      </c>
      <c r="J9" s="7">
        <v>10.433168511293058</v>
      </c>
      <c r="K9" s="17">
        <f xml:space="preserve"> F5*(K7) - F6*EXP(-F7*F9)*(K8)</f>
        <v>10.433168511293054</v>
      </c>
      <c r="M9" s="26" t="s">
        <v>26</v>
      </c>
      <c r="N9" s="28">
        <v>30.815918348046122</v>
      </c>
      <c r="O9" s="30">
        <f>G6*G9*EXP(-G7*G9)*K8</f>
        <v>30.815918348046125</v>
      </c>
    </row>
    <row r="10" spans="2:16" ht="14.4" thickBot="1" x14ac:dyDescent="0.3">
      <c r="I10" s="14" t="s">
        <v>10</v>
      </c>
      <c r="J10" s="8">
        <v>8.1736516030805078</v>
      </c>
      <c r="K10" s="19">
        <f>K9+G6*EXP(-G7*G9)-G5</f>
        <v>8.1736516030805006</v>
      </c>
      <c r="M10" s="26" t="s">
        <v>29</v>
      </c>
      <c r="N10" s="1">
        <f>EXP(-0.5*J5^2)/SQRT(2*PI())</f>
        <v>0.38451610730983066</v>
      </c>
      <c r="P10" s="25"/>
    </row>
  </sheetData>
  <mergeCells count="3">
    <mergeCell ref="B3:G3"/>
    <mergeCell ref="I3:K3"/>
    <mergeCell ref="M3:O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 Nguyễn Hoàng Phúc</dc:creator>
  <cp:lastModifiedBy>Phan Nguyễn Hoàng Phúc</cp:lastModifiedBy>
  <dcterms:created xsi:type="dcterms:W3CDTF">2026-02-22T03:19:32Z</dcterms:created>
  <dcterms:modified xsi:type="dcterms:W3CDTF">2026-02-22T07:41:48Z</dcterms:modified>
</cp:coreProperties>
</file>